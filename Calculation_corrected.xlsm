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我的坚果云\投稿\入海沉降\"/>
    </mc:Choice>
  </mc:AlternateContent>
  <xr:revisionPtr revIDLastSave="0" documentId="8_{46D53089-3B34-4F79-BF5D-5E24CDF1D4A1}" xr6:coauthVersionLast="47" xr6:coauthVersionMax="47" xr10:uidLastSave="{00000000-0000-0000-0000-000000000000}"/>
  <bookViews>
    <workbookView xWindow="14400" yWindow="0" windowWidth="14400" windowHeight="15600" xr2:uid="{00000000-000D-0000-FFFF-FFFF00000000}"/>
  </bookViews>
  <sheets>
    <sheet name="Sheet1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A24" i="1" l="1"/>
  <c r="B21" i="1"/>
  <c r="A18" i="1"/>
  <c r="B12" i="1"/>
  <c r="C12" i="1"/>
  <c r="A6" i="1"/>
  <c r="C6" i="1"/>
  <c r="A15" i="1" s="1"/>
  <c r="D6" i="1"/>
  <c r="A9" i="1"/>
  <c r="D12" i="1" l="1"/>
  <c r="B15" i="1"/>
  <c r="E12" i="1" s="1"/>
  <c r="A21" i="1" l="1"/>
</calcChain>
</file>

<file path=xl/sharedStrings.xml><?xml version="1.0" encoding="utf-8"?>
<sst xmlns="http://schemas.openxmlformats.org/spreadsheetml/2006/main" count="32" uniqueCount="32">
  <si>
    <r>
      <t>z</t>
    </r>
    <r>
      <rPr>
        <vertAlign val="subscript"/>
        <sz val="12"/>
        <color theme="1"/>
        <rFont val="Times New Roman"/>
        <family val="1"/>
      </rPr>
      <t>o</t>
    </r>
  </si>
  <si>
    <t>Friction velocity</t>
    <phoneticPr fontId="1" type="noConversion"/>
  </si>
  <si>
    <r>
      <t>Ψ</t>
    </r>
    <r>
      <rPr>
        <vertAlign val="subscript"/>
        <sz val="11"/>
        <color theme="1"/>
        <rFont val="Times New Roman"/>
        <family val="1"/>
      </rPr>
      <t>H</t>
    </r>
    <phoneticPr fontId="3" type="noConversion"/>
  </si>
  <si>
    <t>Stability function for momentum</t>
    <phoneticPr fontId="1" type="noConversion"/>
  </si>
  <si>
    <t>Roughtness length</t>
    <phoneticPr fontId="1" type="noConversion"/>
  </si>
  <si>
    <t>Air temperature</t>
    <phoneticPr fontId="1" type="noConversion"/>
  </si>
  <si>
    <r>
      <t>T</t>
    </r>
    <r>
      <rPr>
        <vertAlign val="subscript"/>
        <sz val="11"/>
        <color theme="1"/>
        <rFont val="Times New Roman"/>
        <family val="1"/>
      </rPr>
      <t>a</t>
    </r>
    <r>
      <rPr>
        <sz val="11"/>
        <color theme="1"/>
        <rFont val="Times New Roman"/>
        <family val="1"/>
      </rPr>
      <t xml:space="preserve"> [K]</t>
    </r>
    <phoneticPr fontId="3" type="noConversion"/>
  </si>
  <si>
    <r>
      <t>T</t>
    </r>
    <r>
      <rPr>
        <vertAlign val="subscript"/>
        <sz val="11"/>
        <color theme="1"/>
        <rFont val="Times New Roman"/>
        <family val="1"/>
      </rPr>
      <t>w</t>
    </r>
    <r>
      <rPr>
        <sz val="11"/>
        <color theme="1"/>
        <rFont val="Times New Roman"/>
        <family val="1"/>
      </rPr>
      <t xml:space="preserve"> [K]</t>
    </r>
    <phoneticPr fontId="3" type="noConversion"/>
  </si>
  <si>
    <t>RH [%]</t>
    <phoneticPr fontId="3" type="noConversion"/>
  </si>
  <si>
    <t>z [m]</t>
    <phoneticPr fontId="1" type="noConversion"/>
  </si>
  <si>
    <t>U [m/s]</t>
    <phoneticPr fontId="3" type="noConversion"/>
  </si>
  <si>
    <r>
      <t>u</t>
    </r>
    <r>
      <rPr>
        <vertAlign val="subscript"/>
        <sz val="11"/>
        <color theme="1"/>
        <rFont val="Times New Roman"/>
        <family val="1"/>
      </rPr>
      <t>*</t>
    </r>
    <phoneticPr fontId="3" type="noConversion"/>
  </si>
  <si>
    <t>Wind speed</t>
    <phoneticPr fontId="1" type="noConversion"/>
  </si>
  <si>
    <t>Evaluated at Z</t>
    <phoneticPr fontId="1" type="noConversion"/>
  </si>
  <si>
    <t>Sea surface temperature</t>
    <phoneticPr fontId="1" type="noConversion"/>
  </si>
  <si>
    <t>Relative humidiy</t>
    <phoneticPr fontId="1" type="noConversion"/>
  </si>
  <si>
    <r>
      <t>v</t>
    </r>
    <r>
      <rPr>
        <vertAlign val="subscript"/>
        <sz val="12"/>
        <color theme="1"/>
        <rFont val="Times New Roman"/>
        <family val="1"/>
      </rPr>
      <t>gd</t>
    </r>
  </si>
  <si>
    <t>a</t>
    <phoneticPr fontId="1" type="noConversion"/>
  </si>
  <si>
    <t>Dd(um)</t>
    <phoneticPr fontId="1" type="noConversion"/>
  </si>
  <si>
    <t>Dw(um)</t>
    <phoneticPr fontId="1" type="noConversion"/>
  </si>
  <si>
    <r>
      <t>v</t>
    </r>
    <r>
      <rPr>
        <vertAlign val="subscript"/>
        <sz val="11"/>
        <color theme="1"/>
        <rFont val="Times New Roman"/>
        <family val="1"/>
      </rPr>
      <t>gw</t>
    </r>
    <phoneticPr fontId="1" type="noConversion"/>
  </si>
  <si>
    <r>
      <t>x(k</t>
    </r>
    <r>
      <rPr>
        <vertAlign val="subscript"/>
        <sz val="11"/>
        <color theme="1"/>
        <rFont val="Times New Roman"/>
        <family val="1"/>
      </rPr>
      <t>as</t>
    </r>
    <r>
      <rPr>
        <sz val="11"/>
        <color theme="1"/>
        <rFont val="Times New Roman"/>
        <family val="1"/>
      </rPr>
      <t>,k</t>
    </r>
    <r>
      <rPr>
        <vertAlign val="subscript"/>
        <sz val="11"/>
        <color theme="1"/>
        <rFont val="Times New Roman"/>
        <family val="1"/>
      </rPr>
      <t>ab</t>
    </r>
    <r>
      <rPr>
        <sz val="11"/>
        <color theme="1"/>
        <rFont val="Times New Roman"/>
        <family val="1"/>
      </rPr>
      <t xml:space="preserve"> and k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)</t>
    </r>
    <phoneticPr fontId="1" type="noConversion"/>
  </si>
  <si>
    <t>Dc</t>
    <phoneticPr fontId="1" type="noConversion"/>
  </si>
  <si>
    <t>Sc</t>
    <phoneticPr fontId="1" type="noConversion"/>
  </si>
  <si>
    <t>μ(kg/m-s)</t>
    <phoneticPr fontId="1" type="noConversion"/>
  </si>
  <si>
    <t>ν(m^2/s)</t>
    <phoneticPr fontId="1" type="noConversion"/>
  </si>
  <si>
    <t>St</t>
    <phoneticPr fontId="1" type="noConversion"/>
  </si>
  <si>
    <r>
      <t>y(k</t>
    </r>
    <r>
      <rPr>
        <vertAlign val="subscript"/>
        <sz val="11"/>
        <color theme="1"/>
        <rFont val="Times New Roman"/>
        <family val="1"/>
      </rPr>
      <t>ss</t>
    </r>
    <r>
      <rPr>
        <sz val="11"/>
        <color theme="1"/>
        <rFont val="Times New Roman"/>
        <family val="1"/>
      </rPr>
      <t xml:space="preserve"> and k</t>
    </r>
    <r>
      <rPr>
        <vertAlign val="subscript"/>
        <sz val="11"/>
        <color theme="1"/>
        <rFont val="Times New Roman"/>
        <family val="1"/>
      </rPr>
      <t>bs</t>
    </r>
    <r>
      <rPr>
        <sz val="11"/>
        <color theme="1"/>
        <rFont val="Times New Roman"/>
        <family val="1"/>
      </rPr>
      <t>)</t>
    </r>
    <phoneticPr fontId="1" type="noConversion"/>
  </si>
  <si>
    <t>ρ(kg/m^3)</t>
    <phoneticPr fontId="1" type="noConversion"/>
  </si>
  <si>
    <t>A</t>
    <phoneticPr fontId="1" type="noConversion"/>
  </si>
  <si>
    <t>B</t>
    <phoneticPr fontId="1" type="noConversion"/>
  </si>
  <si>
    <r>
      <t>v</t>
    </r>
    <r>
      <rPr>
        <vertAlign val="subscript"/>
        <sz val="11"/>
        <color theme="1"/>
        <rFont val="Times New Roman"/>
        <family val="1"/>
      </rPr>
      <t>d</t>
    </r>
    <r>
      <rPr>
        <sz val="11"/>
        <color theme="1"/>
        <rFont val="Times New Roman"/>
        <family val="1"/>
      </rPr>
      <t>(m/s)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</si>
</sst>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Times New Roman"/>
      <family val="1"/>
    </font>
    <font>
      <sz val="9"/>
      <name val="宋体"/>
      <family val="3"/>
      <charset val="134"/>
      <scheme val="minor"/>
    </font>
    <font>
      <vertAlign val="subscript"/>
      <sz val="11"/>
      <color theme="1"/>
      <name val="Times New Roman"/>
      <family val="1"/>
    </font>
    <font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/>
    <xf numFmtId="0" fontId="2" fillId="0" borderId="0" xfId="0" applyFont="1">
      <alignment vertical="center"/>
    </xf>
    <xf numFmtId="0" fontId="2" fillId="2" borderId="0" xfId="0" applyFont="1" applyFill="1" applyAlignment="1"/>
    <xf numFmtId="0" fontId="2" fillId="2" borderId="0" xfId="0" applyFont="1" applyFill="1">
      <alignment vertical="center"/>
    </xf>
    <xf numFmtId="0" fontId="5" fillId="0" borderId="0" xfId="0" applyFont="1" applyAlignment="1"/>
    <xf numFmtId="0" fontId="5" fillId="2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workbookViewId="0">
      <selection activeCell="E21" sqref="E21"/>
    </sheetView>
  </sheetViews>
  <sheetFormatPr defaultRowHeight="15" x14ac:dyDescent="0.15"/>
  <cols>
    <col min="1" max="2" width="9" style="2"/>
    <col min="3" max="3" width="11.375" style="2" customWidth="1"/>
    <col min="4" max="4" width="10.625" style="2" bestFit="1" customWidth="1"/>
    <col min="5" max="5" width="10" style="2" customWidth="1"/>
    <col min="6" max="6" width="9.5" style="2" bestFit="1" customWidth="1"/>
    <col min="7" max="16384" width="9" style="2"/>
  </cols>
  <sheetData>
    <row r="1" spans="1:9" x14ac:dyDescent="0.15">
      <c r="A1" s="2" t="s">
        <v>12</v>
      </c>
      <c r="B1" s="2" t="s">
        <v>13</v>
      </c>
      <c r="C1" s="2" t="s">
        <v>5</v>
      </c>
      <c r="D1" s="2" t="s">
        <v>14</v>
      </c>
      <c r="E1" s="2" t="s">
        <v>15</v>
      </c>
      <c r="F1" s="2" t="s">
        <v>1</v>
      </c>
      <c r="G1" s="2" t="s">
        <v>4</v>
      </c>
      <c r="H1" s="2" t="s">
        <v>3</v>
      </c>
    </row>
    <row r="2" spans="1:9" ht="18.75" x14ac:dyDescent="0.35">
      <c r="A2" s="1" t="s">
        <v>10</v>
      </c>
      <c r="B2" s="1" t="s">
        <v>9</v>
      </c>
      <c r="C2" s="1" t="s">
        <v>6</v>
      </c>
      <c r="D2" s="1" t="s">
        <v>7</v>
      </c>
      <c r="E2" s="1" t="s">
        <v>8</v>
      </c>
      <c r="F2" s="1" t="s">
        <v>11</v>
      </c>
      <c r="G2" s="5" t="s">
        <v>0</v>
      </c>
      <c r="H2" s="1" t="s">
        <v>2</v>
      </c>
      <c r="I2" s="2" t="s">
        <v>28</v>
      </c>
    </row>
    <row r="3" spans="1:9" x14ac:dyDescent="0.25">
      <c r="A3" s="1">
        <v>14</v>
      </c>
      <c r="B3" s="1">
        <v>28</v>
      </c>
      <c r="C3" s="1">
        <v>273</v>
      </c>
      <c r="D3" s="1">
        <v>279</v>
      </c>
      <c r="E3" s="1">
        <v>0.68</v>
      </c>
      <c r="F3" s="1">
        <v>0.50363679129043426</v>
      </c>
      <c r="G3" s="1">
        <v>4.1492019140149187E-4</v>
      </c>
      <c r="H3" s="1">
        <v>2.2415347074907048E-2</v>
      </c>
      <c r="I3" s="2">
        <v>2500</v>
      </c>
    </row>
    <row r="4" spans="1:9" x14ac:dyDescent="0.25">
      <c r="A4" s="1"/>
      <c r="B4" s="1"/>
      <c r="C4" s="1"/>
      <c r="D4" s="1"/>
      <c r="E4" s="1"/>
      <c r="F4" s="1"/>
      <c r="G4" s="1"/>
      <c r="H4" s="1"/>
    </row>
    <row r="5" spans="1:9" ht="16.5" x14ac:dyDescent="0.25">
      <c r="A5" s="4" t="s">
        <v>21</v>
      </c>
      <c r="C5" s="1" t="s">
        <v>24</v>
      </c>
      <c r="D5" s="1" t="s">
        <v>25</v>
      </c>
      <c r="E5" s="1"/>
      <c r="F5" s="1"/>
      <c r="G5" s="1"/>
      <c r="H5" s="1"/>
    </row>
    <row r="6" spans="1:9" x14ac:dyDescent="0.25">
      <c r="A6" s="4">
        <f>0.4*F3/(LN(28/G3)-H3)</f>
        <v>1.8153630727751641E-2</v>
      </c>
      <c r="C6" s="1">
        <f>1.729*10^(-5)</f>
        <v>1.7290000000000002E-5</v>
      </c>
      <c r="D6" s="1">
        <f>1.338*10^(-5)</f>
        <v>1.3380000000000002E-5</v>
      </c>
      <c r="E6" s="1"/>
      <c r="F6" s="1"/>
      <c r="G6" s="1"/>
      <c r="H6" s="1"/>
    </row>
    <row r="7" spans="1:9" x14ac:dyDescent="0.25">
      <c r="H7" s="1"/>
    </row>
    <row r="8" spans="1:9" x14ac:dyDescent="0.25">
      <c r="A8" s="4" t="s">
        <v>17</v>
      </c>
      <c r="B8" s="1"/>
    </row>
    <row r="9" spans="1:9" x14ac:dyDescent="0.25">
      <c r="A9" s="4">
        <f>1.7*10^(-6)*A3^3.75</f>
        <v>3.3762069160111728E-2</v>
      </c>
      <c r="B9" s="1"/>
    </row>
    <row r="11" spans="1:9" x14ac:dyDescent="0.25">
      <c r="A11" s="1" t="s">
        <v>18</v>
      </c>
      <c r="B11" s="3" t="s">
        <v>19</v>
      </c>
      <c r="C11" s="4" t="s">
        <v>22</v>
      </c>
      <c r="D11" s="4" t="s">
        <v>23</v>
      </c>
      <c r="E11" s="4" t="s">
        <v>26</v>
      </c>
    </row>
    <row r="12" spans="1:9" x14ac:dyDescent="0.25">
      <c r="A12" s="1">
        <v>2.5</v>
      </c>
      <c r="B12" s="3">
        <f>((0.7674*(A12)^3.079)/(2.573*10^(-11)*A12^(-1.424)-LOG(E3))+A12^3)^(1/3)</f>
        <v>4.5239701242887707</v>
      </c>
      <c r="C12" s="4">
        <f>((2.38*10^(-7))/(10^(-6)*B12))*(1+0.163/(10^(-6)*B12)+0.0548*(EXP(-6.66*(10^(-6)*B12)))/(10^(-6)*B12))</f>
        <v>2532.8012072453766</v>
      </c>
      <c r="D12" s="4">
        <f>D6/C12</f>
        <v>5.2826885748968113E-9</v>
      </c>
      <c r="E12" s="4">
        <f>(F3*B15)/(9.8*(D6))</f>
        <v>6.1883276741550786</v>
      </c>
    </row>
    <row r="14" spans="1:9" ht="18.75" x14ac:dyDescent="0.15">
      <c r="A14" s="6" t="s">
        <v>16</v>
      </c>
      <c r="B14" s="4" t="s">
        <v>20</v>
      </c>
    </row>
    <row r="15" spans="1:9" x14ac:dyDescent="0.15">
      <c r="A15" s="4">
        <f>I3*9.8*((A12*10^(-6))^2)/(18*C6)</f>
        <v>4.9201529464687347E-4</v>
      </c>
      <c r="B15" s="4">
        <f>I3*9.8*((B12*10^(-6))^2)/(18*C6)</f>
        <v>1.6111576675461254E-3</v>
      </c>
    </row>
    <row r="17" spans="1:2" ht="16.5" x14ac:dyDescent="0.15">
      <c r="A17" s="4" t="s">
        <v>27</v>
      </c>
    </row>
    <row r="18" spans="1:2" x14ac:dyDescent="0.15">
      <c r="A18" s="4">
        <f>(F3^2/(0.4*A3))*(10^(-(3/E12))+D12^(-0.5))</f>
        <v>623.20324051754437</v>
      </c>
    </row>
    <row r="20" spans="1:2" x14ac:dyDescent="0.15">
      <c r="A20" s="4" t="s">
        <v>29</v>
      </c>
      <c r="B20" s="4" t="s">
        <v>30</v>
      </c>
    </row>
    <row r="21" spans="1:2" x14ac:dyDescent="0.15">
      <c r="A21" s="4">
        <f>A6*((1-A9)*A6+A6*A9+A15)+(1-A9)*(A6+A15)*A9*(A6+A18+B15)</f>
        <v>0.37942125913106445</v>
      </c>
      <c r="B21" s="4">
        <f>A6*(A6+A18+B15)+(1-A9)*A9*(A6+A18+B15)^2</f>
        <v>12681.998634349688</v>
      </c>
    </row>
    <row r="23" spans="1:2" ht="16.5" x14ac:dyDescent="0.15">
      <c r="A23" s="4" t="s">
        <v>31</v>
      </c>
    </row>
    <row r="24" spans="1:2" x14ac:dyDescent="0.15">
      <c r="A24" s="4">
        <f>(A21/B21)*((1-A9)*(A18+B15)+(A6+A9*(A18+B15))/(A6+A9*(A6+A18+B15)))+A9^2*(A18+B15)*(A6+A15)/(A6+A9*(A6+A18+B15))</f>
        <v>1.867447748802601E-2</v>
      </c>
    </row>
  </sheetData>
  <phoneticPr fontId="1" type="noConversion"/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</dc:creator>
  <cp:lastModifiedBy>WangYucheng</cp:lastModifiedBy>
  <dcterms:created xsi:type="dcterms:W3CDTF">2014-03-02T15:04:47Z</dcterms:created>
  <dcterms:modified xsi:type="dcterms:W3CDTF">2023-05-11T15:19:52Z</dcterms:modified>
</cp:coreProperties>
</file>